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yed\Downloads\Dmart_Sales\"/>
    </mc:Choice>
  </mc:AlternateContent>
  <xr:revisionPtr revIDLastSave="0" documentId="13_ncr:1_{E495B825-4D88-47D5-9F1D-CBE09FC20707}" xr6:coauthVersionLast="47" xr6:coauthVersionMax="47" xr10:uidLastSave="{00000000-0000-0000-0000-000000000000}"/>
  <bookViews>
    <workbookView xWindow="-108" yWindow="-108" windowWidth="23256" windowHeight="12456" activeTab="2" xr2:uid="{2A9389EE-B0A1-435E-B258-E712E71DF2EE}"/>
  </bookViews>
  <sheets>
    <sheet name="Sheet1" sheetId="1" r:id="rId1"/>
    <sheet name="yearsales" sheetId="2" r:id="rId2"/>
    <sheet name="2023" sheetId="3" r:id="rId3"/>
    <sheet name="2024" sheetId="4" r:id="rId4"/>
    <sheet name="2025" sheetId="5" r:id="rId5"/>
  </sheets>
  <definedNames>
    <definedName name="A">yearsales!$A$1</definedName>
    <definedName name="b">yearsales!$B$1</definedName>
    <definedName name="sale">yearsales!$B:$B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5" l="1"/>
  <c r="C13" i="5"/>
  <c r="C14" i="5"/>
  <c r="C15" i="5"/>
  <c r="C11" i="5"/>
  <c r="A2" i="3"/>
  <c r="A1" i="4" s="1"/>
  <c r="C2" i="3"/>
  <c r="C1" i="4" s="1"/>
  <c r="A3" i="5"/>
  <c r="A4" i="5"/>
  <c r="A5" i="5"/>
  <c r="A6" i="5"/>
  <c r="D2" i="5"/>
  <c r="E2" i="5"/>
  <c r="B2" i="5"/>
  <c r="A2" i="4"/>
  <c r="A3" i="4"/>
  <c r="A4" i="4"/>
  <c r="A5" i="4"/>
  <c r="D1" i="4"/>
  <c r="E1" i="4"/>
  <c r="B1" i="4"/>
  <c r="E3" i="5"/>
  <c r="C4" i="5"/>
  <c r="D4" i="5"/>
  <c r="E4" i="5"/>
  <c r="C5" i="5"/>
  <c r="D5" i="5"/>
  <c r="C6" i="5"/>
  <c r="D6" i="5"/>
  <c r="E6" i="5"/>
  <c r="B6" i="5"/>
  <c r="C2" i="4"/>
  <c r="D2" i="4"/>
  <c r="E2" i="4"/>
  <c r="C3" i="4"/>
  <c r="C3" i="5" s="1"/>
  <c r="D3" i="4"/>
  <c r="D3" i="5" s="1"/>
  <c r="E3" i="4"/>
  <c r="C4" i="4"/>
  <c r="D4" i="4"/>
  <c r="E4" i="4"/>
  <c r="C5" i="4"/>
  <c r="D5" i="4"/>
  <c r="E5" i="4"/>
  <c r="E5" i="5" s="1"/>
  <c r="B3" i="4"/>
  <c r="B3" i="5" s="1"/>
  <c r="B4" i="4"/>
  <c r="B4" i="5" s="1"/>
  <c r="B5" i="4"/>
  <c r="B5" i="5" s="1"/>
  <c r="B2" i="4"/>
  <c r="E2" i="3"/>
  <c r="D2" i="3"/>
  <c r="B2" i="3"/>
  <c r="A6" i="3"/>
  <c r="A3" i="3"/>
  <c r="A4" i="3"/>
  <c r="A5" i="3"/>
  <c r="C3" i="2"/>
  <c r="C4" i="2"/>
  <c r="C5" i="2"/>
  <c r="C2" i="2"/>
  <c r="K8" i="1"/>
  <c r="K4" i="1"/>
  <c r="G20" i="1"/>
  <c r="H20" i="1"/>
  <c r="I20" i="1"/>
  <c r="K20" i="1"/>
  <c r="G21" i="1"/>
  <c r="H21" i="1"/>
  <c r="I21" i="1"/>
  <c r="K21" i="1"/>
  <c r="H19" i="1"/>
  <c r="I19" i="1"/>
  <c r="K19" i="1"/>
  <c r="G19" i="1"/>
  <c r="H15" i="1"/>
  <c r="H16" i="1" s="1"/>
  <c r="G15" i="1"/>
  <c r="L14" i="1"/>
  <c r="M14" i="1"/>
  <c r="M15" i="1"/>
  <c r="L15" i="1"/>
  <c r="G16" i="1"/>
  <c r="C18" i="1"/>
  <c r="C17" i="1"/>
  <c r="C16" i="1"/>
  <c r="C15" i="1"/>
  <c r="C6" i="1"/>
  <c r="I6" i="1" s="1"/>
  <c r="C5" i="1"/>
  <c r="I5" i="1" s="1"/>
  <c r="C4" i="1"/>
  <c r="I4" i="1" s="1"/>
  <c r="C7" i="1"/>
  <c r="I7" i="1" s="1"/>
  <c r="A2" i="5" l="1"/>
  <c r="C2" i="5"/>
  <c r="D10" i="3"/>
  <c r="J5" i="1"/>
  <c r="J4" i="1"/>
  <c r="J7" i="1"/>
  <c r="J6" i="1"/>
  <c r="K7" i="1"/>
  <c r="K6" i="1"/>
  <c r="K5" i="1"/>
  <c r="C8" i="1"/>
  <c r="H4" i="1"/>
</calcChain>
</file>

<file path=xl/sharedStrings.xml><?xml version="1.0" encoding="utf-8"?>
<sst xmlns="http://schemas.openxmlformats.org/spreadsheetml/2006/main" count="67" uniqueCount="54">
  <si>
    <t>sales</t>
  </si>
  <si>
    <t>Sales</t>
  </si>
  <si>
    <t>Units</t>
  </si>
  <si>
    <t>Totak_sales</t>
  </si>
  <si>
    <t>formula</t>
  </si>
  <si>
    <t>function</t>
  </si>
  <si>
    <t>sum-sales</t>
  </si>
  <si>
    <t>count_sales</t>
  </si>
  <si>
    <t>suppose</t>
  </si>
  <si>
    <t xml:space="preserve">0.5 &amp; 50%  </t>
  </si>
  <si>
    <t>Trace precedent, it works on function</t>
  </si>
  <si>
    <t>Releative cell ref.</t>
  </si>
  <si>
    <t>Discount price</t>
  </si>
  <si>
    <t>Absolute Ref.</t>
  </si>
  <si>
    <t>Suppose Discount:0.05</t>
  </si>
  <si>
    <t>$ sine for fixed column &amp; rows too like c$ means column fixed  and like $c$1 means $1 means row fixed</t>
  </si>
  <si>
    <t>Mixed cell Ref. in here use relative nad absolute</t>
  </si>
  <si>
    <t xml:space="preserve">Cell ki lication bhi same hona usse fixed karna $ se like i$ for absolute and j$ for fix the location value </t>
  </si>
  <si>
    <t>Unit_price</t>
  </si>
  <si>
    <t>here unit_prive into prive</t>
  </si>
  <si>
    <t>Net_Revenue</t>
  </si>
  <si>
    <t>total discount ke baad like sales-discountprice</t>
  </si>
  <si>
    <t>sales_discount</t>
  </si>
  <si>
    <r>
      <t>t</t>
    </r>
    <r>
      <rPr>
        <sz val="11"/>
        <color theme="5" tint="0.39997558519241921"/>
        <rFont val="Calibri"/>
        <family val="2"/>
        <scheme val="minor"/>
      </rPr>
      <t>o column add we do insert cell</t>
    </r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</si>
  <si>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</si>
  <si>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</si>
  <si>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</si>
  <si>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</si>
  <si>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</si>
  <si>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</si>
  <si>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</si>
  <si>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</si>
  <si>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</si>
  <si>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</si>
  <si>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</si>
  <si>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</si>
  <si>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</si>
  <si>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Column32</t>
  </si>
  <si>
    <t>Name Range</t>
  </si>
  <si>
    <t>Agrigate function</t>
  </si>
  <si>
    <t>Person A</t>
  </si>
  <si>
    <t>Person B</t>
  </si>
  <si>
    <t>Person C</t>
  </si>
  <si>
    <t>Person D</t>
  </si>
  <si>
    <t>Person E</t>
  </si>
  <si>
    <t>FEB</t>
  </si>
  <si>
    <t>MAR</t>
  </si>
  <si>
    <t>APR</t>
  </si>
  <si>
    <t>JAN</t>
  </si>
  <si>
    <t>entry</t>
  </si>
  <si>
    <t>tehsin'</t>
  </si>
  <si>
    <t>Data conceledation</t>
  </si>
  <si>
    <t>shift+prss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</si>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</sst>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7030A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9" fontId="0" fillId="0" borderId="0" xfId="0" applyNumberFormat="1"/>
    <xf numFmtId="0" fontId="2" fillId="0" borderId="0" xfId="0" applyFont="1"/>
    <xf numFmtId="9" fontId="0" fillId="0" borderId="0" xfId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1" xfId="0" applyFont="1" applyFill="1" applyBorder="1"/>
    <xf numFmtId="0" fontId="0" fillId="3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D9314A-AE5E-4969-AEC5-8F775D8E2E7D}" name="Table1" displayName="Table1" ref="A1:N8" totalsRowShown="0" headerRowDxfId="0">
  <autoFilter ref="A1:N8" xr:uid="{60D9314A-AE5E-4969-AEC5-8F775D8E2E7D}"/>
  <tableColumns count="14">
    <tableColumn id="1" xr3:uid="{01EF3D73-5DC3-4B06-99CB-7BCF9A9D8E0D}" name="Column1"/>
    <tableColumn id="2" xr3:uid="{8A595E0B-FF3F-4A9D-8958-F3DF87C45944}" name="Column2"/>
    <tableColumn id="3" xr3:uid="{40230692-0751-491C-B3EB-463C8373A81D}" name="Column3"/>
    <tableColumn id="15" xr3:uid="{C8BEF34B-00B1-4852-BC97-0AEB71196A65}" name="Column32"/>
    <tableColumn id="4" xr3:uid="{38DB40E7-E5D4-4C3D-AA63-B8E4A6C729C3}" name="Column4"/>
    <tableColumn id="5" xr3:uid="{4895ED8E-C4AF-4E4B-BE02-F233C88A5B03}" name="Column5"/>
    <tableColumn id="6" xr3:uid="{E817DCC5-C824-44BE-B262-C03A80994127}" name="Column6"/>
    <tableColumn id="7" xr3:uid="{E4DEF9E5-3747-41CB-AFAE-2E9BE2039067}" name="Column7"/>
    <tableColumn id="8" xr3:uid="{BB968F25-D5B7-42DE-9454-DC9EAFD62EC5}" name="Column8"/>
    <tableColumn id="9" xr3:uid="{764080C0-D1A0-4A76-A43D-EA307F950376}" name="Column9"/>
    <tableColumn id="10" xr3:uid="{69007CAD-41EF-4DF6-B15C-DE1C9436A8E8}" name="Column10"/>
    <tableColumn id="11" xr3:uid="{A59253D2-1A31-4DA5-84D7-ACFB3F696D4E}" name="Column11"/>
    <tableColumn id="12" xr3:uid="{1CCBFFC3-F285-42F1-A8AC-5A8B7BF864F2}" name="Column12"/>
    <tableColumn id="13" xr3:uid="{AA58B92F-E2EC-4C3E-9CF5-AD315710CACB}" name="Column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67E8-DFC3-4F20-81AE-D4D850059C40}">
  <dimension ref="A1:Q23"/>
  <sheetViews>
    <sheetView zoomScale="113" zoomScaleNormal="100" workbookViewId="0">
      <selection activeCell="A16" sqref="A16"/>
    </sheetView>
  </sheetViews>
  <sheetFormatPr defaultRowHeight="14.4" x14ac:dyDescent="0.3"/>
  <cols>
    <col min="1" max="1" width="20.5546875" bestFit="1" customWidth="1"/>
    <col min="2" max="2" width="10.6640625" customWidth="1"/>
    <col min="3" max="3" width="15.21875" bestFit="1" customWidth="1"/>
    <col min="4" max="4" width="15.21875" customWidth="1"/>
    <col min="5" max="5" width="18.77734375" customWidth="1"/>
    <col min="6" max="6" width="21.6640625" customWidth="1"/>
    <col min="7" max="7" width="10.6640625" bestFit="1" customWidth="1"/>
    <col min="8" max="8" width="10.6640625" customWidth="1"/>
    <col min="9" max="9" width="12.6640625" bestFit="1" customWidth="1"/>
    <col min="10" max="10" width="12.6640625" customWidth="1"/>
    <col min="11" max="11" width="39.21875" bestFit="1" customWidth="1"/>
    <col min="12" max="13" width="11.6640625" customWidth="1"/>
    <col min="14" max="14" width="15" customWidth="1"/>
  </cols>
  <sheetData>
    <row r="1" spans="1:17" s="5" customFormat="1" x14ac:dyDescent="0.3">
      <c r="A1" s="5" t="s">
        <v>24</v>
      </c>
      <c r="B1" s="5" t="s">
        <v>25</v>
      </c>
      <c r="C1" s="5" t="s">
        <v>26</v>
      </c>
      <c r="D1" s="5" t="s">
        <v>37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</row>
    <row r="2" spans="1:17" s="6" customFormat="1" x14ac:dyDescent="0.3">
      <c r="A2" s="5" t="s">
        <v>14</v>
      </c>
      <c r="B2" s="5">
        <v>0.05</v>
      </c>
      <c r="C2" s="5" t="s">
        <v>11</v>
      </c>
      <c r="D2" s="5"/>
      <c r="E2" s="5"/>
      <c r="F2" s="5"/>
      <c r="G2" s="5"/>
      <c r="H2" s="5"/>
      <c r="I2" s="5" t="s">
        <v>13</v>
      </c>
      <c r="J2" s="5"/>
      <c r="K2" s="5" t="s">
        <v>21</v>
      </c>
      <c r="L2" s="5"/>
      <c r="M2" s="5"/>
      <c r="N2" s="5"/>
    </row>
    <row r="3" spans="1:17" x14ac:dyDescent="0.3">
      <c r="A3" s="6" t="s">
        <v>18</v>
      </c>
      <c r="B3" s="6" t="s">
        <v>2</v>
      </c>
      <c r="C3" s="6" t="s">
        <v>3</v>
      </c>
      <c r="D3" s="6"/>
      <c r="E3" s="6"/>
      <c r="F3" s="6"/>
      <c r="G3" s="6"/>
      <c r="H3" s="6"/>
      <c r="I3" s="6" t="s">
        <v>12</v>
      </c>
      <c r="J3" s="6" t="s">
        <v>22</v>
      </c>
      <c r="K3" s="6" t="s">
        <v>20</v>
      </c>
      <c r="L3" s="6"/>
      <c r="M3" s="6"/>
      <c r="N3" s="6"/>
    </row>
    <row r="4" spans="1:17" x14ac:dyDescent="0.3">
      <c r="A4">
        <v>10000</v>
      </c>
      <c r="B4">
        <v>1</v>
      </c>
      <c r="C4">
        <f>1000*1</f>
        <v>1000</v>
      </c>
      <c r="E4" s="4" t="s">
        <v>4</v>
      </c>
      <c r="F4" s="4"/>
      <c r="G4" s="4" t="s">
        <v>6</v>
      </c>
      <c r="H4">
        <f>C4+C5+C6+C7</f>
        <v>13100</v>
      </c>
      <c r="I4">
        <f>C4*$B$2</f>
        <v>50</v>
      </c>
      <c r="J4" s="3">
        <f>C4-I4</f>
        <v>950</v>
      </c>
      <c r="K4">
        <f>C4-I4</f>
        <v>950</v>
      </c>
    </row>
    <row r="5" spans="1:17" x14ac:dyDescent="0.3">
      <c r="A5">
        <v>1200</v>
      </c>
      <c r="B5">
        <v>3</v>
      </c>
      <c r="C5">
        <f>PRODUCT(A5,B5)</f>
        <v>3600</v>
      </c>
      <c r="E5" s="4" t="s">
        <v>5</v>
      </c>
      <c r="F5" s="4"/>
      <c r="G5" s="4" t="s">
        <v>7</v>
      </c>
      <c r="H5">
        <v>4</v>
      </c>
      <c r="I5">
        <f>C5*$B$2</f>
        <v>180</v>
      </c>
      <c r="J5" s="3">
        <f t="shared" ref="J5:J7" si="0">C5-I5</f>
        <v>3420</v>
      </c>
      <c r="K5">
        <f t="shared" ref="K5:K7" si="1">C5-I5</f>
        <v>3420</v>
      </c>
    </row>
    <row r="6" spans="1:17" x14ac:dyDescent="0.3">
      <c r="A6">
        <v>1500</v>
      </c>
      <c r="B6">
        <v>2</v>
      </c>
      <c r="C6">
        <f>PRODUCT(A6,B6)</f>
        <v>3000</v>
      </c>
      <c r="E6" s="4" t="s">
        <v>10</v>
      </c>
      <c r="F6" s="4"/>
      <c r="G6" s="4"/>
      <c r="I6">
        <f>C6*$B$2</f>
        <v>150</v>
      </c>
      <c r="J6" s="3">
        <f t="shared" si="0"/>
        <v>2850</v>
      </c>
      <c r="K6">
        <f t="shared" si="1"/>
        <v>2850</v>
      </c>
    </row>
    <row r="7" spans="1:17" x14ac:dyDescent="0.3">
      <c r="A7">
        <v>1100</v>
      </c>
      <c r="B7">
        <v>5</v>
      </c>
      <c r="C7">
        <f t="shared" ref="C6:C7" si="2">PRODUCT(A7,B7)</f>
        <v>5500</v>
      </c>
      <c r="E7" s="2"/>
      <c r="F7" s="2"/>
      <c r="G7" s="2"/>
      <c r="I7">
        <f>C7*$B$2</f>
        <v>275</v>
      </c>
      <c r="J7" s="3">
        <f t="shared" si="0"/>
        <v>5225</v>
      </c>
      <c r="K7">
        <f t="shared" si="1"/>
        <v>5225</v>
      </c>
    </row>
    <row r="8" spans="1:17" x14ac:dyDescent="0.3">
      <c r="C8">
        <f>AVERAGE(C4:C7)</f>
        <v>3275</v>
      </c>
      <c r="E8" s="2"/>
      <c r="F8" s="2"/>
      <c r="G8" s="2"/>
      <c r="K8">
        <f>AVERAGE(K4:K7)</f>
        <v>3111.25</v>
      </c>
    </row>
    <row r="9" spans="1:17" ht="33.6" customHeight="1" x14ac:dyDescent="0.3">
      <c r="C9" s="4" t="s">
        <v>19</v>
      </c>
      <c r="D9" s="4"/>
      <c r="E9" s="2"/>
      <c r="F9" s="2"/>
      <c r="G9" s="2"/>
    </row>
    <row r="10" spans="1:17" x14ac:dyDescent="0.3">
      <c r="E10" s="4" t="s">
        <v>15</v>
      </c>
      <c r="F10" s="4"/>
      <c r="G10" s="4"/>
      <c r="H10" s="4"/>
      <c r="I10" s="4"/>
      <c r="J10" s="4"/>
      <c r="K10" s="4"/>
    </row>
    <row r="11" spans="1:17" x14ac:dyDescent="0.3">
      <c r="E11" s="2" t="s">
        <v>23</v>
      </c>
      <c r="F11" s="2"/>
      <c r="G11" s="2"/>
    </row>
    <row r="12" spans="1:17" x14ac:dyDescent="0.3">
      <c r="A12" t="s">
        <v>8</v>
      </c>
      <c r="B12" t="s">
        <v>9</v>
      </c>
      <c r="C12" s="1"/>
      <c r="D12" s="1"/>
      <c r="O12" s="4"/>
      <c r="P12" s="4"/>
      <c r="Q12" s="4"/>
    </row>
    <row r="13" spans="1:17" x14ac:dyDescent="0.3">
      <c r="B13">
        <v>0.5</v>
      </c>
      <c r="F13" t="s">
        <v>16</v>
      </c>
      <c r="L13">
        <v>10</v>
      </c>
      <c r="M13">
        <v>20</v>
      </c>
      <c r="N13" s="4" t="s">
        <v>17</v>
      </c>
    </row>
    <row r="14" spans="1:17" x14ac:dyDescent="0.3">
      <c r="A14" t="s">
        <v>1</v>
      </c>
      <c r="B14" t="s">
        <v>2</v>
      </c>
      <c r="C14" t="s">
        <v>3</v>
      </c>
      <c r="E14" t="s">
        <v>0</v>
      </c>
      <c r="G14">
        <v>10</v>
      </c>
      <c r="H14">
        <v>20</v>
      </c>
      <c r="K14">
        <v>2</v>
      </c>
      <c r="L14">
        <f>K14*L13</f>
        <v>20</v>
      </c>
      <c r="M14">
        <f>$K14*M$13</f>
        <v>40</v>
      </c>
    </row>
    <row r="15" spans="1:17" x14ac:dyDescent="0.3">
      <c r="A15">
        <v>10000</v>
      </c>
      <c r="B15">
        <v>1</v>
      </c>
      <c r="C15">
        <f>1000*1</f>
        <v>1000</v>
      </c>
      <c r="F15">
        <v>2</v>
      </c>
      <c r="G15">
        <f>F$15*G14</f>
        <v>20</v>
      </c>
      <c r="H15">
        <f>F$15*$H14</f>
        <v>40</v>
      </c>
      <c r="K15">
        <v>4</v>
      </c>
      <c r="L15">
        <f>$K15*L$13</f>
        <v>40</v>
      </c>
      <c r="M15">
        <f>$K15*M$13</f>
        <v>80</v>
      </c>
    </row>
    <row r="16" spans="1:17" x14ac:dyDescent="0.3">
      <c r="A16">
        <v>1200</v>
      </c>
      <c r="B16">
        <v>3</v>
      </c>
      <c r="C16">
        <f>PRODUCT(A16,B16)</f>
        <v>3600</v>
      </c>
      <c r="F16">
        <v>4</v>
      </c>
      <c r="G16">
        <f>F$15*G15</f>
        <v>40</v>
      </c>
      <c r="H16">
        <f>F$15*$H15</f>
        <v>80</v>
      </c>
    </row>
    <row r="17" spans="1:11" x14ac:dyDescent="0.3">
      <c r="A17">
        <v>1500</v>
      </c>
      <c r="B17">
        <v>2</v>
      </c>
      <c r="C17">
        <f>PRODUCT(A17,B17)</f>
        <v>3000</v>
      </c>
    </row>
    <row r="18" spans="1:11" x14ac:dyDescent="0.3">
      <c r="A18">
        <v>1100</v>
      </c>
      <c r="B18">
        <v>5</v>
      </c>
      <c r="C18">
        <f t="shared" ref="C18" si="3">PRODUCT(A18,B18)</f>
        <v>5500</v>
      </c>
      <c r="G18">
        <v>10</v>
      </c>
      <c r="H18">
        <v>20</v>
      </c>
      <c r="I18">
        <v>30</v>
      </c>
      <c r="K18">
        <v>40</v>
      </c>
    </row>
    <row r="19" spans="1:11" x14ac:dyDescent="0.3">
      <c r="F19">
        <v>3</v>
      </c>
      <c r="G19">
        <f>$F19*G$18</f>
        <v>30</v>
      </c>
      <c r="H19">
        <f>$F19*H$18</f>
        <v>60</v>
      </c>
      <c r="I19">
        <f>$F19*I$18</f>
        <v>90</v>
      </c>
      <c r="K19">
        <f>$F19*K$18</f>
        <v>120</v>
      </c>
    </row>
    <row r="20" spans="1:11" x14ac:dyDescent="0.3">
      <c r="F20">
        <v>4</v>
      </c>
      <c r="G20">
        <f>$F20*G$18</f>
        <v>40</v>
      </c>
      <c r="H20">
        <f>$F20*H$18</f>
        <v>80</v>
      </c>
      <c r="I20">
        <f>$F20*I$18</f>
        <v>120</v>
      </c>
      <c r="K20">
        <f>$F20*K$18</f>
        <v>160</v>
      </c>
    </row>
    <row r="21" spans="1:11" ht="13.2" customHeight="1" x14ac:dyDescent="0.3">
      <c r="F21">
        <v>5</v>
      </c>
      <c r="G21">
        <f>$F21*G$18</f>
        <v>50</v>
      </c>
      <c r="H21">
        <f>$F21*H$18</f>
        <v>100</v>
      </c>
      <c r="I21">
        <f>$F21*I$18</f>
        <v>150</v>
      </c>
      <c r="K21">
        <f>$F21*K$18</f>
        <v>200</v>
      </c>
    </row>
    <row r="23" spans="1:11" x14ac:dyDescent="0.3">
      <c r="A23">
        <v>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BC05-2FC3-43C3-A20B-01452C947FFD}">
  <dimension ref="A1:F22"/>
  <sheetViews>
    <sheetView topLeftCell="A8" zoomScale="84" workbookViewId="0">
      <selection activeCell="B24" sqref="B24"/>
    </sheetView>
  </sheetViews>
  <sheetFormatPr defaultRowHeight="14.4" x14ac:dyDescent="0.3"/>
  <cols>
    <col min="1" max="1" width="15.109375" bestFit="1" customWidth="1"/>
    <col min="3" max="3" width="10.6640625" bestFit="1" customWidth="1"/>
  </cols>
  <sheetData>
    <row r="1" spans="1:6" x14ac:dyDescent="0.3">
      <c r="A1" t="s">
        <v>1</v>
      </c>
      <c r="B1" t="s">
        <v>2</v>
      </c>
      <c r="C1" t="s">
        <v>3</v>
      </c>
    </row>
    <row r="2" spans="1:6" x14ac:dyDescent="0.3">
      <c r="A2">
        <v>10000</v>
      </c>
      <c r="B2">
        <v>1</v>
      </c>
      <c r="C2">
        <f>1000*1</f>
        <v>1000</v>
      </c>
    </row>
    <row r="3" spans="1:6" x14ac:dyDescent="0.3">
      <c r="A3">
        <v>1200</v>
      </c>
      <c r="B3">
        <v>3</v>
      </c>
      <c r="C3">
        <f>PRODUCT(A3,B3)</f>
        <v>3600</v>
      </c>
    </row>
    <row r="4" spans="1:6" x14ac:dyDescent="0.3">
      <c r="A4">
        <v>1500</v>
      </c>
      <c r="B4">
        <v>2</v>
      </c>
      <c r="C4">
        <f>PRODUCT(A4,B4)</f>
        <v>3000</v>
      </c>
    </row>
    <row r="5" spans="1:6" x14ac:dyDescent="0.3">
      <c r="A5">
        <v>1100</v>
      </c>
      <c r="B5">
        <v>5</v>
      </c>
      <c r="C5">
        <f t="shared" ref="C5" si="0">PRODUCT(A5,B5)</f>
        <v>5500</v>
      </c>
    </row>
    <row r="9" spans="1:6" x14ac:dyDescent="0.3">
      <c r="A9" t="s">
        <v>38</v>
      </c>
    </row>
    <row r="10" spans="1:6" x14ac:dyDescent="0.3">
      <c r="A10" t="s">
        <v>39</v>
      </c>
    </row>
    <row r="12" spans="1:6" x14ac:dyDescent="0.3">
      <c r="B12" t="s">
        <v>48</v>
      </c>
      <c r="C12" t="s">
        <v>45</v>
      </c>
      <c r="D12" t="s">
        <v>46</v>
      </c>
      <c r="E12" t="s">
        <v>47</v>
      </c>
    </row>
    <row r="13" spans="1:6" x14ac:dyDescent="0.3">
      <c r="A13" t="s">
        <v>40</v>
      </c>
      <c r="B13">
        <v>42</v>
      </c>
      <c r="C13">
        <v>10</v>
      </c>
      <c r="D13">
        <v>30</v>
      </c>
      <c r="E13">
        <v>18</v>
      </c>
      <c r="F13" t="s">
        <v>49</v>
      </c>
    </row>
    <row r="14" spans="1:6" x14ac:dyDescent="0.3">
      <c r="A14" t="s">
        <v>41</v>
      </c>
      <c r="B14">
        <v>44</v>
      </c>
      <c r="C14">
        <v>47</v>
      </c>
      <c r="D14">
        <v>50</v>
      </c>
      <c r="E14">
        <v>27</v>
      </c>
      <c r="F14" t="s">
        <v>50</v>
      </c>
    </row>
    <row r="15" spans="1:6" x14ac:dyDescent="0.3">
      <c r="A15" t="s">
        <v>42</v>
      </c>
      <c r="B15">
        <v>22</v>
      </c>
      <c r="C15">
        <v>21</v>
      </c>
      <c r="D15">
        <v>22</v>
      </c>
      <c r="E15">
        <v>49</v>
      </c>
    </row>
    <row r="16" spans="1:6" x14ac:dyDescent="0.3">
      <c r="A16" t="s">
        <v>43</v>
      </c>
      <c r="B16">
        <v>12</v>
      </c>
      <c r="C16">
        <v>49</v>
      </c>
      <c r="D16">
        <v>25</v>
      </c>
      <c r="E16">
        <v>44</v>
      </c>
    </row>
    <row r="17" spans="1:5" x14ac:dyDescent="0.3">
      <c r="A17" t="s">
        <v>44</v>
      </c>
      <c r="B17">
        <v>33</v>
      </c>
      <c r="C17">
        <v>28</v>
      </c>
      <c r="D17">
        <v>15</v>
      </c>
      <c r="E17">
        <v>17</v>
      </c>
    </row>
    <row r="21" spans="1:5" x14ac:dyDescent="0.3">
      <c r="A21" t="s">
        <v>51</v>
      </c>
    </row>
    <row r="22" spans="1:5" x14ac:dyDescent="0.3">
      <c r="A2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420D-13E8-4DF1-BB1D-83109AB80DF7}">
  <dimension ref="A1:N10"/>
  <sheetViews>
    <sheetView tabSelected="1" zoomScale="220" zoomScaleNormal="220" workbookViewId="0">
      <selection activeCell="C10" sqref="C10"/>
    </sheetView>
  </sheetViews>
  <sheetFormatPr defaultRowHeight="14.4" x14ac:dyDescent="0.3"/>
  <sheetData>
    <row r="1" spans="1:14" x14ac:dyDescent="0.3">
      <c r="A1" s="12" t="s">
        <v>53</v>
      </c>
      <c r="B1" s="12"/>
      <c r="C1" s="12"/>
      <c r="D1" s="12"/>
      <c r="E1" s="12"/>
      <c r="J1" s="11"/>
      <c r="K1" t="s">
        <v>48</v>
      </c>
      <c r="L1" t="s">
        <v>45</v>
      </c>
      <c r="M1" t="s">
        <v>46</v>
      </c>
      <c r="N1" t="s">
        <v>47</v>
      </c>
    </row>
    <row r="2" spans="1:14" x14ac:dyDescent="0.3">
      <c r="A2" s="8" t="str">
        <f>yearsales!A13</f>
        <v>Person A</v>
      </c>
      <c r="B2" s="7" t="str">
        <f>yearsales!B12</f>
        <v>JAN</v>
      </c>
      <c r="C2" s="7" t="str">
        <f>yearsales!C12</f>
        <v>FEB</v>
      </c>
      <c r="D2" s="7" t="str">
        <f>yearsales!D12</f>
        <v>MAR</v>
      </c>
      <c r="E2" s="7" t="str">
        <f>yearsales!E12</f>
        <v>APR</v>
      </c>
      <c r="J2" t="s">
        <v>41</v>
      </c>
      <c r="K2">
        <v>52.666666666666664</v>
      </c>
      <c r="L2">
        <v>102.33333333333333</v>
      </c>
      <c r="M2">
        <v>66</v>
      </c>
      <c r="N2">
        <v>41.333333333333336</v>
      </c>
    </row>
    <row r="3" spans="1:14" x14ac:dyDescent="0.3">
      <c r="A3" s="9" t="str">
        <f>yearsales!A14</f>
        <v>Person B</v>
      </c>
      <c r="B3" s="10">
        <v>26</v>
      </c>
      <c r="C3" s="10">
        <v>69</v>
      </c>
      <c r="D3" s="10">
        <v>58</v>
      </c>
      <c r="E3" s="10">
        <v>32</v>
      </c>
      <c r="J3" t="s">
        <v>42</v>
      </c>
      <c r="K3">
        <v>100</v>
      </c>
      <c r="L3">
        <v>109.33333333333333</v>
      </c>
      <c r="M3">
        <v>37.666666666666664</v>
      </c>
      <c r="N3">
        <v>55.666666666666664</v>
      </c>
    </row>
    <row r="4" spans="1:14" x14ac:dyDescent="0.3">
      <c r="A4" s="9" t="str">
        <f>yearsales!A15</f>
        <v>Person C</v>
      </c>
      <c r="B4" s="10">
        <v>80</v>
      </c>
      <c r="C4" s="10">
        <v>100</v>
      </c>
      <c r="D4" s="10">
        <v>24</v>
      </c>
      <c r="E4" s="10">
        <v>28</v>
      </c>
      <c r="G4" s="11"/>
      <c r="J4" t="s">
        <v>43</v>
      </c>
      <c r="K4">
        <v>78.666666666666671</v>
      </c>
      <c r="L4">
        <v>49.666666666666664</v>
      </c>
      <c r="M4">
        <v>66.666666666666671</v>
      </c>
      <c r="N4">
        <v>90</v>
      </c>
    </row>
    <row r="5" spans="1:14" x14ac:dyDescent="0.3">
      <c r="A5" s="9" t="str">
        <f>yearsales!A16</f>
        <v>Person D</v>
      </c>
      <c r="B5" s="10">
        <v>60</v>
      </c>
      <c r="C5" s="10">
        <v>28</v>
      </c>
      <c r="D5" s="10">
        <v>41</v>
      </c>
      <c r="E5" s="10">
        <v>83</v>
      </c>
      <c r="J5" t="s">
        <v>44</v>
      </c>
      <c r="K5">
        <v>56</v>
      </c>
      <c r="L5">
        <v>65</v>
      </c>
      <c r="M5">
        <v>77</v>
      </c>
      <c r="N5">
        <v>21</v>
      </c>
    </row>
    <row r="6" spans="1:14" x14ac:dyDescent="0.3">
      <c r="A6" s="9" t="str">
        <f>yearsales!A17</f>
        <v>Person E</v>
      </c>
      <c r="B6" s="10">
        <v>56</v>
      </c>
      <c r="C6" s="10">
        <v>65</v>
      </c>
      <c r="D6" s="10">
        <v>77</v>
      </c>
      <c r="E6" s="10">
        <v>21</v>
      </c>
      <c r="F6" s="11"/>
    </row>
    <row r="10" spans="1:14" x14ac:dyDescent="0.3">
      <c r="D10">
        <f>SUM(sale)</f>
        <v>164</v>
      </c>
    </row>
  </sheetData>
  <dataConsolidate function="average" leftLabels="1" topLabels="1">
    <dataRefs count="3">
      <dataRef ref="A2:E6" sheet="2023"/>
      <dataRef ref="A1:E5" sheet="2024"/>
      <dataRef ref="A2:E6" sheet="2025"/>
    </dataRefs>
  </dataConsolidate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E030-7DB9-448F-9A48-E4967F33D3A2}">
  <dimension ref="A1:E5"/>
  <sheetViews>
    <sheetView zoomScale="177" workbookViewId="0">
      <selection activeCell="B8" sqref="B8"/>
    </sheetView>
  </sheetViews>
  <sheetFormatPr defaultRowHeight="14.4" x14ac:dyDescent="0.3"/>
  <sheetData>
    <row r="1" spans="1:5" x14ac:dyDescent="0.3">
      <c r="A1" t="str">
        <f>'2023'!A2</f>
        <v>Person A</v>
      </c>
      <c r="B1" t="str">
        <f>'2023'!B2</f>
        <v>JAN</v>
      </c>
      <c r="C1" t="str">
        <f>'2023'!C2</f>
        <v>FEB</v>
      </c>
      <c r="D1" t="str">
        <f>'2023'!D2</f>
        <v>MAR</v>
      </c>
      <c r="E1" t="str">
        <f>'2023'!E2</f>
        <v>APR</v>
      </c>
    </row>
    <row r="2" spans="1:5" x14ac:dyDescent="0.3">
      <c r="A2" t="str">
        <f>'2023'!A3</f>
        <v>Person B</v>
      </c>
      <c r="B2">
        <f>SUM('2023'!B3 '2023'!B3:E6)</f>
        <v>26</v>
      </c>
      <c r="C2">
        <f>SUM('2023'!C3 '2023'!C3:F6)</f>
        <v>69</v>
      </c>
      <c r="D2">
        <f>SUM('2023'!D3 '2023'!D3:G6)</f>
        <v>58</v>
      </c>
      <c r="E2">
        <f>SUM('2023'!E3 '2023'!E3:H6)</f>
        <v>32</v>
      </c>
    </row>
    <row r="3" spans="1:5" x14ac:dyDescent="0.3">
      <c r="A3" t="str">
        <f>'2023'!A4</f>
        <v>Person C</v>
      </c>
      <c r="B3">
        <f>SUM('2023'!B4 '2023'!B4:E7)</f>
        <v>80</v>
      </c>
      <c r="C3">
        <f>SUM('2023'!C4 '2023'!C4:F7)</f>
        <v>100</v>
      </c>
      <c r="D3">
        <f>SUM('2023'!D4 '2023'!D4:G7)</f>
        <v>24</v>
      </c>
      <c r="E3">
        <f>SUM('2023'!E4 '2023'!E4:H7)</f>
        <v>28</v>
      </c>
    </row>
    <row r="4" spans="1:5" x14ac:dyDescent="0.3">
      <c r="A4" t="str">
        <f>'2023'!A5</f>
        <v>Person D</v>
      </c>
      <c r="B4">
        <f>SUM('2023'!B5 '2023'!B5:E8)</f>
        <v>60</v>
      </c>
      <c r="C4">
        <f>SUM('2023'!C5 '2023'!C5:F8)</f>
        <v>28</v>
      </c>
      <c r="D4">
        <f>SUM('2023'!D5 '2023'!D5:G8)</f>
        <v>41</v>
      </c>
      <c r="E4">
        <f>SUM('2023'!E5 '2023'!E5:H8)</f>
        <v>83</v>
      </c>
    </row>
    <row r="5" spans="1:5" x14ac:dyDescent="0.3">
      <c r="A5" t="str">
        <f>'2023'!A6</f>
        <v>Person E</v>
      </c>
      <c r="B5">
        <f>SUM('2023'!B6 '2023'!B6:E9)</f>
        <v>56</v>
      </c>
      <c r="C5">
        <f>SUM('2023'!C6 '2023'!C6:F9)</f>
        <v>65</v>
      </c>
      <c r="D5">
        <f>SUM('2023'!D6 '2023'!D6:G9)</f>
        <v>77</v>
      </c>
      <c r="E5">
        <f>SUM('2023'!E6 '2023'!E6:H9)</f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1A7E-7404-4D83-A0CF-0854A0E0AA58}">
  <dimension ref="A2:E15"/>
  <sheetViews>
    <sheetView zoomScale="209" workbookViewId="0">
      <selection activeCell="C11" sqref="C11:C15"/>
    </sheetView>
  </sheetViews>
  <sheetFormatPr defaultRowHeight="14.4" x14ac:dyDescent="0.3"/>
  <sheetData>
    <row r="2" spans="1:5" x14ac:dyDescent="0.3">
      <c r="A2" t="str">
        <f>'2023'!A2</f>
        <v>Person A</v>
      </c>
      <c r="B2" t="str">
        <f>'2023'!B2</f>
        <v>JAN</v>
      </c>
      <c r="C2" t="str">
        <f>'2023'!C2</f>
        <v>FEB</v>
      </c>
      <c r="D2" t="str">
        <f>'2023'!D2</f>
        <v>MAR</v>
      </c>
      <c r="E2" t="str">
        <f>'2023'!E2</f>
        <v>APR</v>
      </c>
    </row>
    <row r="3" spans="1:5" x14ac:dyDescent="0.3">
      <c r="A3" t="str">
        <f>'2023'!A3</f>
        <v>Person B</v>
      </c>
      <c r="B3">
        <f>SUM('2023:2024'!B3)</f>
        <v>106</v>
      </c>
      <c r="C3">
        <f>SUM('2023:2024'!C3)</f>
        <v>169</v>
      </c>
      <c r="D3">
        <f>SUM('2023:2024'!D3)</f>
        <v>82</v>
      </c>
      <c r="E3">
        <f>SUM('2023:2024'!E3)</f>
        <v>60</v>
      </c>
    </row>
    <row r="4" spans="1:5" x14ac:dyDescent="0.3">
      <c r="A4" t="str">
        <f>'2023'!A4</f>
        <v>Person C</v>
      </c>
      <c r="B4">
        <f>SUM('2023:2024'!B4)</f>
        <v>140</v>
      </c>
      <c r="C4">
        <f>SUM('2023:2024'!C4)</f>
        <v>128</v>
      </c>
      <c r="D4">
        <f>SUM('2023:2024'!D4)</f>
        <v>65</v>
      </c>
      <c r="E4">
        <f>SUM('2023:2024'!E4)</f>
        <v>111</v>
      </c>
    </row>
    <row r="5" spans="1:5" x14ac:dyDescent="0.3">
      <c r="A5" t="str">
        <f>'2023'!A5</f>
        <v>Person D</v>
      </c>
      <c r="B5">
        <f>SUM('2023:2024'!B5)</f>
        <v>116</v>
      </c>
      <c r="C5">
        <f>SUM('2023:2024'!C5)</f>
        <v>93</v>
      </c>
      <c r="D5">
        <f>SUM('2023:2024'!D5)</f>
        <v>118</v>
      </c>
      <c r="E5">
        <f>SUM('2023:2024'!E5)</f>
        <v>104</v>
      </c>
    </row>
    <row r="6" spans="1:5" x14ac:dyDescent="0.3">
      <c r="A6" t="str">
        <f>'2023'!A6</f>
        <v>Person E</v>
      </c>
      <c r="B6">
        <f>SUM('2023:2024'!B6)</f>
        <v>56</v>
      </c>
      <c r="C6">
        <f>SUM('2023:2024'!C6)</f>
        <v>65</v>
      </c>
      <c r="D6">
        <f>SUM('2023:2024'!D6)</f>
        <v>77</v>
      </c>
      <c r="E6">
        <f>SUM('2023:2024'!E6)</f>
        <v>21</v>
      </c>
    </row>
    <row r="11" spans="1:5" x14ac:dyDescent="0.3">
      <c r="C11">
        <f>SUM('2023:2025'!B3)</f>
        <v>212</v>
      </c>
    </row>
    <row r="12" spans="1:5" x14ac:dyDescent="0.3">
      <c r="C12">
        <f>SUM('2023:2025'!B4)</f>
        <v>280</v>
      </c>
    </row>
    <row r="13" spans="1:5" x14ac:dyDescent="0.3">
      <c r="C13">
        <f>SUM('2023:2025'!B5)</f>
        <v>232</v>
      </c>
    </row>
    <row r="14" spans="1:5" x14ac:dyDescent="0.3">
      <c r="C14">
        <f>SUM('2023:2025'!B6)</f>
        <v>112</v>
      </c>
    </row>
    <row r="15" spans="1:5" x14ac:dyDescent="0.3">
      <c r="C15">
        <f>SUM('2023:2025'!B7)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yearsales</vt:lpstr>
      <vt:lpstr>2023</vt:lpstr>
      <vt:lpstr>2024</vt:lpstr>
      <vt:lpstr>2025</vt:lpstr>
      <vt:lpstr>A</vt:lpstr>
      <vt:lpstr>b</vt:lpstr>
      <vt:lpstr>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Tehsin Sayyed</dc:creator>
  <cp:lastModifiedBy>Tehsin Sayyed</cp:lastModifiedBy>
  <dcterms:created xsi:type="dcterms:W3CDTF">2026-07-13T09:53:33Z</dcterms:created>
  <dcterms:modified xsi:type="dcterms:W3CDTF">2026-07-14T11:34:56Z</dcterms:modified>
</cp:coreProperties>
</file>